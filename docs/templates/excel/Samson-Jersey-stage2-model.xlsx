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ksamson\Downloads\"/>
    </mc:Choice>
  </mc:AlternateContent>
  <xr:revisionPtr revIDLastSave="0" documentId="8_{2D5D1232-E686-45F0-8A5A-99C5AF6FF3C9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Transaction Hedging (Receivable" sheetId="1" r:id="rId1"/>
    <sheet name="Notes &amp; Assumptions" sheetId="2" r:id="rId2"/>
  </sheets>
  <definedNames>
    <definedName name="for_EURUSD">'Transaction Hedging (Receivable'!$F$12</definedName>
    <definedName name="fv_put_outlay">'Transaction Hedging (Receivable'!$F$28</definedName>
    <definedName name="fwd_result">'Transaction Hedging (Receivable'!$F$18</definedName>
    <definedName name="mm_result">'Transaction Hedging (Receivable'!$F$24</definedName>
    <definedName name="put_price">'Transaction Hedging (Receivable'!$F$15</definedName>
    <definedName name="rate_eur">'Transaction Hedging (Receivable'!$F$10</definedName>
    <definedName name="rate_us">'Transaction Hedging (Receivable'!$F$9</definedName>
    <definedName name="recievable">'Transaction Hedging (Receivable'!$F$6</definedName>
    <definedName name="spot_EURUSD">'Transaction Hedging (Receivable'!$F$7</definedName>
    <definedName name="x_put">'Transaction Hedging (Receivable'!$F$14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9" i="1" l="1"/>
  <c r="D39" i="1" s="1"/>
  <c r="E39" i="1" s="1"/>
  <c r="F27" i="1"/>
  <c r="F28" i="1" s="1"/>
  <c r="F21" i="1"/>
  <c r="F22" i="1" s="1"/>
  <c r="F23" i="1" s="1"/>
  <c r="F24" i="1" s="1"/>
  <c r="F18" i="1"/>
  <c r="F12" i="1"/>
  <c r="H39" i="1" s="1"/>
  <c r="F44" i="1" l="1"/>
  <c r="F36" i="1"/>
  <c r="F39" i="1"/>
  <c r="F42" i="1"/>
  <c r="F34" i="1"/>
  <c r="F45" i="1"/>
  <c r="F37" i="1"/>
  <c r="F40" i="1"/>
  <c r="F43" i="1"/>
  <c r="F35" i="1"/>
  <c r="F38" i="1"/>
  <c r="F41" i="1"/>
  <c r="F33" i="1"/>
  <c r="I39" i="1"/>
  <c r="G39" i="1"/>
  <c r="J39" i="1" s="1"/>
  <c r="G38" i="1"/>
  <c r="F25" i="1"/>
  <c r="C38" i="1"/>
  <c r="C40" i="1"/>
  <c r="H38" i="1"/>
  <c r="C37" i="1" l="1"/>
  <c r="D38" i="1"/>
  <c r="L39" i="1"/>
  <c r="C41" i="1"/>
  <c r="D40" i="1"/>
  <c r="G40" i="1"/>
  <c r="J40" i="1" s="1"/>
  <c r="K39" i="1"/>
  <c r="H40" i="1"/>
  <c r="E40" i="1" l="1"/>
  <c r="I40" i="1"/>
  <c r="D41" i="1"/>
  <c r="C42" i="1"/>
  <c r="G41" i="1"/>
  <c r="J41" i="1" s="1"/>
  <c r="H41" i="1"/>
  <c r="E38" i="1"/>
  <c r="I38" i="1"/>
  <c r="C36" i="1"/>
  <c r="D37" i="1"/>
  <c r="H37" i="1"/>
  <c r="G37" i="1"/>
  <c r="J37" i="1" s="1"/>
  <c r="J38" i="1"/>
  <c r="E37" i="1" l="1"/>
  <c r="I37" i="1"/>
  <c r="D36" i="1"/>
  <c r="C35" i="1"/>
  <c r="G36" i="1"/>
  <c r="J36" i="1" s="1"/>
  <c r="H36" i="1"/>
  <c r="L38" i="1"/>
  <c r="K38" i="1"/>
  <c r="D42" i="1"/>
  <c r="C43" i="1"/>
  <c r="H42" i="1"/>
  <c r="G42" i="1"/>
  <c r="J42" i="1" s="1"/>
  <c r="E41" i="1"/>
  <c r="I41" i="1"/>
  <c r="L40" i="1"/>
  <c r="K40" i="1"/>
  <c r="L41" i="1" l="1"/>
  <c r="K41" i="1"/>
  <c r="C44" i="1"/>
  <c r="D43" i="1"/>
  <c r="G43" i="1"/>
  <c r="J43" i="1" s="1"/>
  <c r="H43" i="1"/>
  <c r="E42" i="1"/>
  <c r="I42" i="1"/>
  <c r="C34" i="1"/>
  <c r="D35" i="1"/>
  <c r="H35" i="1"/>
  <c r="G35" i="1"/>
  <c r="J35" i="1" s="1"/>
  <c r="E36" i="1"/>
  <c r="I36" i="1"/>
  <c r="L37" i="1"/>
  <c r="K37" i="1"/>
  <c r="L36" i="1" l="1"/>
  <c r="K36" i="1"/>
  <c r="E35" i="1"/>
  <c r="I35" i="1"/>
  <c r="C33" i="1"/>
  <c r="D34" i="1"/>
  <c r="G34" i="1"/>
  <c r="J34" i="1" s="1"/>
  <c r="H34" i="1"/>
  <c r="E43" i="1"/>
  <c r="I43" i="1"/>
  <c r="D44" i="1"/>
  <c r="C45" i="1"/>
  <c r="G44" i="1"/>
  <c r="J44" i="1" s="1"/>
  <c r="H44" i="1"/>
  <c r="L42" i="1"/>
  <c r="K42" i="1"/>
  <c r="E44" i="1" l="1"/>
  <c r="I44" i="1"/>
  <c r="K43" i="1"/>
  <c r="L43" i="1"/>
  <c r="E34" i="1"/>
  <c r="I34" i="1"/>
  <c r="L35" i="1"/>
  <c r="K35" i="1"/>
  <c r="D45" i="1"/>
  <c r="G45" i="1"/>
  <c r="J45" i="1" s="1"/>
  <c r="H45" i="1"/>
  <c r="D33" i="1"/>
  <c r="G33" i="1"/>
  <c r="H33" i="1"/>
  <c r="F29" i="1" l="1"/>
  <c r="J33" i="1"/>
  <c r="E33" i="1"/>
  <c r="I33" i="1"/>
  <c r="L34" i="1"/>
  <c r="K34" i="1"/>
  <c r="E45" i="1"/>
  <c r="I45" i="1"/>
  <c r="L44" i="1"/>
  <c r="K44" i="1"/>
  <c r="L45" i="1" l="1"/>
  <c r="K45" i="1"/>
  <c r="K33" i="1"/>
  <c r="L33" i="1"/>
</calcChain>
</file>

<file path=xl/sharedStrings.xml><?xml version="1.0" encoding="utf-8"?>
<sst xmlns="http://schemas.openxmlformats.org/spreadsheetml/2006/main" count="81" uniqueCount="75">
  <si>
    <t>Hedging Foreign Currency Receivables (EUR)</t>
  </si>
  <si>
    <t>Suppose your firm exported goods to a European customer and expects to receive EUR 4,500,000 on July 31, 2026 (119 days). Exchange-rate risk could reduce USD proceeds.</t>
  </si>
  <si>
    <t>Given</t>
  </si>
  <si>
    <t>Variables</t>
  </si>
  <si>
    <t>Key</t>
  </si>
  <si>
    <t>1-Year Receivable</t>
  </si>
  <si>
    <t>Editable</t>
  </si>
  <si>
    <t>Current EUR/USD Spot Exchange Rate</t>
  </si>
  <si>
    <t>Outcome</t>
  </si>
  <si>
    <t>Money Market</t>
  </si>
  <si>
    <t>Formulas</t>
  </si>
  <si>
    <t>U.S. 1-Year Interest Rate (domestic)</t>
  </si>
  <si>
    <t>EUR 1-Year Interest Rate (foreign)</t>
  </si>
  <si>
    <t>Forwards</t>
  </si>
  <si>
    <t>EUR/USD 1-Year Forward Exchange Rate</t>
  </si>
  <si>
    <t>Options</t>
  </si>
  <si>
    <t>EUR/USD Put Strike Price</t>
  </si>
  <si>
    <t>EUR/USD Put Price (per EUR)</t>
  </si>
  <si>
    <t>1. Forward Hedge</t>
  </si>
  <si>
    <t>[a] Sell EUR/USD 1-Year Forward</t>
  </si>
  <si>
    <t>&lt;-- LOCKED IN: in one year we will have this amount of USD</t>
  </si>
  <si>
    <t>2. Money Market Hedge</t>
  </si>
  <si>
    <t>[a] Borrow the discounted present value of the foreign receivable</t>
  </si>
  <si>
    <t>Borrow EUR PV today so it grows to exactly EUR 4,500,000 in 119 days</t>
  </si>
  <si>
    <t>[b] Convert [a] into domestic (USD) at the current spot rate</t>
  </si>
  <si>
    <t>Convert borrowed EUR to USD at today's spot</t>
  </si>
  <si>
    <t>[c] Invest [b] at the prevailing domestic interest rate</t>
  </si>
  <si>
    <t>Invest USD proceeds for 119 days at U.S. rate</t>
  </si>
  <si>
    <t>[d] Parity Check: Forward ≈ Money Market?</t>
  </si>
  <si>
    <t>3. Option Hedge</t>
  </si>
  <si>
    <t>[a] Buy puts (upfront cost)</t>
  </si>
  <si>
    <t>Cost of buying EUR put options (negative = cash outflow)</t>
  </si>
  <si>
    <t>[b] Future value of option cost at maturity</t>
  </si>
  <si>
    <t>&lt;-- LOWEST: variable amount depends on where EUR/USD ends up at maturity</t>
  </si>
  <si>
    <t>EUR/USD
Spot Exchange Rate
(scenarios in 1 year)</t>
  </si>
  <si>
    <t>In one year, we receive (USD proceeds)</t>
  </si>
  <si>
    <t>Hedge Profit (Loss) vs. No Hedge</t>
  </si>
  <si>
    <t>Winner</t>
  </si>
  <si>
    <t>0. No Hedge</t>
  </si>
  <si>
    <t>1. Forward Hedge
(F - St) × Notional</t>
  </si>
  <si>
    <t>of Hedge / No Hedge</t>
  </si>
  <si>
    <t>of Hedges</t>
  </si>
  <si>
    <t>Future Spot Price</t>
  </si>
  <si>
    <t>&lt;-- Worse (EUR depreciates)</t>
  </si>
  <si>
    <t>&lt;-- baseline</t>
  </si>
  <si>
    <t>&lt;-- Better (EUR appreciates)</t>
  </si>
  <si>
    <t>Notes &amp; Assumptions — EUR Receivable Hedge Model</t>
  </si>
  <si>
    <t>ASSUMPTION / ITEM</t>
  </si>
  <si>
    <t>DETAIL</t>
  </si>
  <si>
    <t>Scenario</t>
  </si>
  <si>
    <t>Firm expects EUR 4,500,000 from EU customer on July 31, 2026 (119 days from April 4, 2026).</t>
  </si>
  <si>
    <t>Spot Rate</t>
  </si>
  <si>
    <t>1.0820 USD/EUR — ECB reference rate, April 4, 2026. Actual execution rate will differ.</t>
  </si>
  <si>
    <t>Forward Rate</t>
  </si>
  <si>
    <t>Derived via CIP: F = S0 × (1 + R_USD × 119/360) / (1 + R_EUR × 119/360). Day count: Act/360.</t>
  </si>
  <si>
    <t>USD Interest Rate</t>
  </si>
  <si>
    <t>5.30% annual — approximate 3-month U.S. T-bill yield, April 2026.</t>
  </si>
  <si>
    <t>EUR Interest Rate</t>
  </si>
  <si>
    <t>3.25% annual — ECB deposit facility rate, April 2026.</t>
  </si>
  <si>
    <t>Put Strike</t>
  </si>
  <si>
    <t>1.0700 USD/EUR — slightly OTM; chosen to minimize premium while providing a floor.</t>
  </si>
  <si>
    <t>Put Premium</t>
  </si>
  <si>
    <t>0.0095 USD/EUR (~0.88% of spot). Indicative market estimate; confirm with dealer.</t>
  </si>
  <si>
    <t>Option Style</t>
  </si>
  <si>
    <t>European-style assumed (exercise at expiry only).</t>
  </si>
  <si>
    <t>Transaction Costs</t>
  </si>
  <si>
    <t>Bid-ask spreads and bank fees excluded. Add ~0.02–0.05% for live execution.</t>
  </si>
  <si>
    <t>Receivable Certainty</t>
  </si>
  <si>
    <t>EUR 4,500,000 assumed 100% certain. Adjust hedge notional if contract is at risk.</t>
  </si>
  <si>
    <t>Collar</t>
  </si>
  <si>
    <t>Not modeled in this sheet. See Stage 1 memo for collar discussion.</t>
  </si>
  <si>
    <t>Stage 4 Placeholder</t>
  </si>
  <si>
    <t>Recommendation row to be completed after Stage 4 analysis.</t>
  </si>
  <si>
    <t>LLM Assistance</t>
  </si>
  <si>
    <t>Model formatted to match FIN 321 Chapter 8 template. Formulas verified by analyst.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</si>
</sst>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€]#,##0"/>
    <numFmt numFmtId="165" formatCode="\$#,##0.00"/>
    <numFmt numFmtId="166" formatCode="\$#,##0.0000"/>
    <numFmt numFmtId="167" formatCode="\$#,##0"/>
  </numFmts>
  <fonts count="6" x14ac:knownFonts="1">
    <font>
      <sz val="11"/>
      <color theme="1"/>
      <name val="Calibri"/>
      <family val="2"/>
      <charset val="1"/>
    </font>
    <font>
      <b/>
      <sz val="18"/>
      <color rgb="FF000000"/>
      <name val="Calibri"/>
      <charset val="1"/>
    </font>
    <font>
      <sz val="18"/>
      <color rgb="FF000000"/>
      <name val="Calibri"/>
      <charset val="1"/>
    </font>
    <font>
      <b/>
      <sz val="18"/>
      <color rgb="FF0000FF"/>
      <name val="Calibri"/>
      <charset val="1"/>
    </font>
    <font>
      <sz val="18"/>
      <color rgb="FF0000FF"/>
      <name val="Calibri"/>
      <charset val="1"/>
    </font>
    <font>
      <i/>
      <sz val="18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3F3F3"/>
        <bgColor rgb="FFF9F9F9"/>
      </patternFill>
    </fill>
    <fill>
      <patternFill patternType="solid">
        <fgColor rgb="FFEAD1DC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horizontal="center" vertical="center" textRotation="90"/>
    </xf>
    <xf numFmtId="0" fontId="1" fillId="5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3" borderId="0" xfId="0" applyNumberFormat="1" applyFont="1" applyFill="1"/>
    <xf numFmtId="0" fontId="1" fillId="3" borderId="0" xfId="0" applyFont="1" applyFill="1" applyAlignment="1">
      <alignment horizontal="left" vertical="center"/>
    </xf>
    <xf numFmtId="165" fontId="2" fillId="3" borderId="0" xfId="0" applyNumberFormat="1" applyFont="1" applyFill="1"/>
    <xf numFmtId="0" fontId="1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0" fontId="2" fillId="3" borderId="0" xfId="0" applyNumberFormat="1" applyFont="1" applyFill="1"/>
    <xf numFmtId="166" fontId="4" fillId="3" borderId="0" xfId="0" applyNumberFormat="1" applyFont="1" applyFill="1"/>
    <xf numFmtId="166" fontId="2" fillId="3" borderId="0" xfId="0" applyNumberFormat="1" applyFont="1" applyFill="1"/>
    <xf numFmtId="167" fontId="3" fillId="4" borderId="0" xfId="0" applyNumberFormat="1" applyFont="1" applyFill="1"/>
    <xf numFmtId="164" fontId="4" fillId="0" borderId="0" xfId="0" applyNumberFormat="1" applyFont="1"/>
    <xf numFmtId="167" fontId="4" fillId="0" borderId="0" xfId="0" applyNumberFormat="1" applyFont="1"/>
    <xf numFmtId="0" fontId="4" fillId="0" borderId="0" xfId="0" applyFont="1"/>
    <xf numFmtId="167" fontId="3" fillId="4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165" fontId="2" fillId="2" borderId="0" xfId="0" applyNumberFormat="1" applyFont="1" applyFill="1"/>
    <xf numFmtId="167" fontId="4" fillId="5" borderId="0" xfId="0" applyNumberFormat="1" applyFont="1" applyFill="1"/>
    <xf numFmtId="0" fontId="4" fillId="0" borderId="0" xfId="0" applyFont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9F9F9"/>
      <rgbColor rgb="FFF3F3F3"/>
      <rgbColor rgb="FF660066"/>
      <rgbColor rgb="FFFF8080"/>
      <rgbColor rgb="FF0070C0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D1DC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USD Proceeds by Strategy vs. EUR/USD Spot at Maturity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'Transaction Hedging (Receivable'!$D$32</c:f>
              <c:strCache>
                <c:ptCount val="1"/>
                <c:pt idx="0">
                  <c:v>0. No Hedge</c:v>
                </c:pt>
              </c:strCache>
            </c:strRef>
          </c:tx>
          <c:spPr>
            <a:ln w="248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(Receivable'!$C$33:$C$45</c:f>
              <c:numCache>
                <c:formatCode>\$#,##0.00</c:formatCode>
                <c:ptCount val="13"/>
                <c:pt idx="0">
                  <c:v>1.022</c:v>
                </c:pt>
                <c:pt idx="1">
                  <c:v>1.032</c:v>
                </c:pt>
                <c:pt idx="2">
                  <c:v>1.042</c:v>
                </c:pt>
                <c:pt idx="3">
                  <c:v>1.052</c:v>
                </c:pt>
                <c:pt idx="4">
                  <c:v>1.0620000000000001</c:v>
                </c:pt>
                <c:pt idx="5">
                  <c:v>1.0720000000000001</c:v>
                </c:pt>
                <c:pt idx="6">
                  <c:v>1.0820000000000001</c:v>
                </c:pt>
                <c:pt idx="7">
                  <c:v>1.0920000000000001</c:v>
                </c:pt>
                <c:pt idx="8">
                  <c:v>1.1020000000000001</c:v>
                </c:pt>
                <c:pt idx="9">
                  <c:v>1.1120000000000001</c:v>
                </c:pt>
                <c:pt idx="10">
                  <c:v>1.1220000000000001</c:v>
                </c:pt>
                <c:pt idx="11">
                  <c:v>1.1320000000000001</c:v>
                </c:pt>
                <c:pt idx="12">
                  <c:v>1.1420000000000001</c:v>
                </c:pt>
              </c:numCache>
            </c:numRef>
          </c:cat>
          <c:val>
            <c:numRef>
              <c:f>'Transaction Hedging (Receivable'!$D$33:$D$45</c:f>
              <c:numCache>
                <c:formatCode>\$#,##0</c:formatCode>
                <c:ptCount val="13"/>
                <c:pt idx="0">
                  <c:v>4599000</c:v>
                </c:pt>
                <c:pt idx="1">
                  <c:v>4644000</c:v>
                </c:pt>
                <c:pt idx="2">
                  <c:v>4689000</c:v>
                </c:pt>
                <c:pt idx="3">
                  <c:v>4734000</c:v>
                </c:pt>
                <c:pt idx="4">
                  <c:v>4779000</c:v>
                </c:pt>
                <c:pt idx="5">
                  <c:v>4824000</c:v>
                </c:pt>
                <c:pt idx="6">
                  <c:v>4869000</c:v>
                </c:pt>
                <c:pt idx="7">
                  <c:v>4914000</c:v>
                </c:pt>
                <c:pt idx="8">
                  <c:v>4959000</c:v>
                </c:pt>
                <c:pt idx="9">
                  <c:v>5004000</c:v>
                </c:pt>
                <c:pt idx="10">
                  <c:v>5049000.0000000009</c:v>
                </c:pt>
                <c:pt idx="11">
                  <c:v>5094000.0000000009</c:v>
                </c:pt>
                <c:pt idx="12">
                  <c:v>5139000.0000000009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D83-4736-88DD-2473E6A35C00}"/>
            </c:ext>
          </c:extLst>
        </c:ser>
        <c:ser>
          <c:idx val="1"/>
          <c:order val="1"/>
          <c:tx>
            <c:strRef>
              <c:f>'Transaction Hedging (Receivable'!$E$32</c:f>
              <c:strCache>
                <c:ptCount val="1"/>
                <c:pt idx="0">
                  <c:v>1. Forward Hedge</c:v>
                </c:pt>
              </c:strCache>
            </c:strRef>
          </c:tx>
          <c:spPr>
            <a:ln w="2484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(Receivable'!$C$33:$C$45</c:f>
              <c:numCache>
                <c:formatCode>\$#,##0.00</c:formatCode>
                <c:ptCount val="13"/>
                <c:pt idx="0">
                  <c:v>1.022</c:v>
                </c:pt>
                <c:pt idx="1">
                  <c:v>1.032</c:v>
                </c:pt>
                <c:pt idx="2">
                  <c:v>1.042</c:v>
                </c:pt>
                <c:pt idx="3">
                  <c:v>1.052</c:v>
                </c:pt>
                <c:pt idx="4">
                  <c:v>1.0620000000000001</c:v>
                </c:pt>
                <c:pt idx="5">
                  <c:v>1.0720000000000001</c:v>
                </c:pt>
                <c:pt idx="6">
                  <c:v>1.0820000000000001</c:v>
                </c:pt>
                <c:pt idx="7">
                  <c:v>1.0920000000000001</c:v>
                </c:pt>
                <c:pt idx="8">
                  <c:v>1.1020000000000001</c:v>
                </c:pt>
                <c:pt idx="9">
                  <c:v>1.1120000000000001</c:v>
                </c:pt>
                <c:pt idx="10">
                  <c:v>1.1220000000000001</c:v>
                </c:pt>
                <c:pt idx="11">
                  <c:v>1.1320000000000001</c:v>
                </c:pt>
                <c:pt idx="12">
                  <c:v>1.1420000000000001</c:v>
                </c:pt>
              </c:numCache>
            </c:numRef>
          </c:cat>
          <c:val>
            <c:numRef>
              <c:f>'Transaction Hedging (Receivable'!$E$33:$E$45</c:f>
              <c:numCache>
                <c:formatCode>\$#,##0</c:formatCode>
                <c:ptCount val="13"/>
                <c:pt idx="0">
                  <c:v>4901643.5460710293</c:v>
                </c:pt>
                <c:pt idx="1">
                  <c:v>4901643.5460710293</c:v>
                </c:pt>
                <c:pt idx="2">
                  <c:v>4901643.5460710293</c:v>
                </c:pt>
                <c:pt idx="3">
                  <c:v>4901643.5460710293</c:v>
                </c:pt>
                <c:pt idx="4">
                  <c:v>4901643.5460710293</c:v>
                </c:pt>
                <c:pt idx="5">
                  <c:v>4901643.5460710293</c:v>
                </c:pt>
                <c:pt idx="6">
                  <c:v>4901643.5460710293</c:v>
                </c:pt>
                <c:pt idx="7">
                  <c:v>4901643.5460710283</c:v>
                </c:pt>
                <c:pt idx="8">
                  <c:v>4901643.5460710283</c:v>
                </c:pt>
                <c:pt idx="9">
                  <c:v>4901643.5460710283</c:v>
                </c:pt>
                <c:pt idx="10">
                  <c:v>4901643.5460710293</c:v>
                </c:pt>
                <c:pt idx="11">
                  <c:v>4901643.5460710293</c:v>
                </c:pt>
                <c:pt idx="12">
                  <c:v>4901643.5460710293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83-4736-88DD-2473E6A35C00}"/>
            </c:ext>
          </c:extLst>
        </c:ser>
        <c:ser>
          <c:idx val="2"/>
          <c:order val="2"/>
          <c:tx>
            <c:strRef>
              <c:f>'Transaction Hedging (Receivable'!$F$32</c:f>
              <c:strCache>
                <c:ptCount val="1"/>
                <c:pt idx="0">
                  <c:v>2. Money Market Hedge</c:v>
                </c:pt>
              </c:strCache>
            </c:strRef>
          </c:tx>
          <c:spPr>
            <a:ln w="2484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(Receivable'!$C$33:$C$45</c:f>
              <c:numCache>
                <c:formatCode>\$#,##0.00</c:formatCode>
                <c:ptCount val="13"/>
                <c:pt idx="0">
                  <c:v>1.022</c:v>
                </c:pt>
                <c:pt idx="1">
                  <c:v>1.032</c:v>
                </c:pt>
                <c:pt idx="2">
                  <c:v>1.042</c:v>
                </c:pt>
                <c:pt idx="3">
                  <c:v>1.052</c:v>
                </c:pt>
                <c:pt idx="4">
                  <c:v>1.0620000000000001</c:v>
                </c:pt>
                <c:pt idx="5">
                  <c:v>1.0720000000000001</c:v>
                </c:pt>
                <c:pt idx="6">
                  <c:v>1.0820000000000001</c:v>
                </c:pt>
                <c:pt idx="7">
                  <c:v>1.0920000000000001</c:v>
                </c:pt>
                <c:pt idx="8">
                  <c:v>1.1020000000000001</c:v>
                </c:pt>
                <c:pt idx="9">
                  <c:v>1.1120000000000001</c:v>
                </c:pt>
                <c:pt idx="10">
                  <c:v>1.1220000000000001</c:v>
                </c:pt>
                <c:pt idx="11">
                  <c:v>1.1320000000000001</c:v>
                </c:pt>
                <c:pt idx="12">
                  <c:v>1.1420000000000001</c:v>
                </c:pt>
              </c:numCache>
            </c:numRef>
          </c:cat>
          <c:val>
            <c:numRef>
              <c:f>'Transaction Hedging (Receivable'!$F$33:$F$45</c:f>
              <c:numCache>
                <c:formatCode>\$#,##0</c:formatCode>
                <c:ptCount val="13"/>
                <c:pt idx="0">
                  <c:v>4901643.5460710283</c:v>
                </c:pt>
                <c:pt idx="1">
                  <c:v>4901643.5460710283</c:v>
                </c:pt>
                <c:pt idx="2">
                  <c:v>4901643.5460710283</c:v>
                </c:pt>
                <c:pt idx="3">
                  <c:v>4901643.5460710283</c:v>
                </c:pt>
                <c:pt idx="4">
                  <c:v>4901643.5460710283</c:v>
                </c:pt>
                <c:pt idx="5">
                  <c:v>4901643.5460710283</c:v>
                </c:pt>
                <c:pt idx="6">
                  <c:v>4901643.5460710283</c:v>
                </c:pt>
                <c:pt idx="7">
                  <c:v>4901643.5460710283</c:v>
                </c:pt>
                <c:pt idx="8">
                  <c:v>4901643.5460710283</c:v>
                </c:pt>
                <c:pt idx="9">
                  <c:v>4901643.5460710283</c:v>
                </c:pt>
                <c:pt idx="10">
                  <c:v>4901643.5460710283</c:v>
                </c:pt>
                <c:pt idx="11">
                  <c:v>4901643.5460710283</c:v>
                </c:pt>
                <c:pt idx="12">
                  <c:v>4901643.5460710283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D83-4736-88DD-2473E6A35C00}"/>
            </c:ext>
          </c:extLst>
        </c:ser>
        <c:ser>
          <c:idx val="3"/>
          <c:order val="3"/>
          <c:tx>
            <c:strRef>
              <c:f>'Transaction Hedging (Receivable'!$G$32</c:f>
              <c:strCache>
                <c:ptCount val="1"/>
                <c:pt idx="0">
                  <c:v>3. Option Hedge</c:v>
                </c:pt>
              </c:strCache>
            </c:strRef>
          </c:tx>
          <c:spPr>
            <a:ln w="248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'Transaction Hedging (Receivable'!$C$33:$C$45</c:f>
              <c:numCache>
                <c:formatCode>\$#,##0.00</c:formatCode>
                <c:ptCount val="13"/>
                <c:pt idx="0">
                  <c:v>1.022</c:v>
                </c:pt>
                <c:pt idx="1">
                  <c:v>1.032</c:v>
                </c:pt>
                <c:pt idx="2">
                  <c:v>1.042</c:v>
                </c:pt>
                <c:pt idx="3">
                  <c:v>1.052</c:v>
                </c:pt>
                <c:pt idx="4">
                  <c:v>1.0620000000000001</c:v>
                </c:pt>
                <c:pt idx="5">
                  <c:v>1.0720000000000001</c:v>
                </c:pt>
                <c:pt idx="6">
                  <c:v>1.0820000000000001</c:v>
                </c:pt>
                <c:pt idx="7">
                  <c:v>1.0920000000000001</c:v>
                </c:pt>
                <c:pt idx="8">
                  <c:v>1.1020000000000001</c:v>
                </c:pt>
                <c:pt idx="9">
                  <c:v>1.1120000000000001</c:v>
                </c:pt>
                <c:pt idx="10">
                  <c:v>1.1220000000000001</c:v>
                </c:pt>
                <c:pt idx="11">
                  <c:v>1.1320000000000001</c:v>
                </c:pt>
                <c:pt idx="12">
                  <c:v>1.1420000000000001</c:v>
                </c:pt>
              </c:numCache>
            </c:numRef>
          </c:cat>
          <c:val>
            <c:numRef>
              <c:f>'Transaction Hedging (Receivable'!$G$33:$G$45</c:f>
              <c:numCache>
                <c:formatCode>\$#,##0</c:formatCode>
                <c:ptCount val="13"/>
                <c:pt idx="0">
                  <c:v>4771501.0437500002</c:v>
                </c:pt>
                <c:pt idx="1">
                  <c:v>4771501.0437500002</c:v>
                </c:pt>
                <c:pt idx="2">
                  <c:v>4771501.0437500002</c:v>
                </c:pt>
                <c:pt idx="3">
                  <c:v>4771501.0437500002</c:v>
                </c:pt>
                <c:pt idx="4">
                  <c:v>4771501.0437500002</c:v>
                </c:pt>
                <c:pt idx="5">
                  <c:v>4780501.0437500002</c:v>
                </c:pt>
                <c:pt idx="6">
                  <c:v>4825501.0437500002</c:v>
                </c:pt>
                <c:pt idx="7">
                  <c:v>4870501.0437500002</c:v>
                </c:pt>
                <c:pt idx="8">
                  <c:v>4915501.0437500002</c:v>
                </c:pt>
                <c:pt idx="9">
                  <c:v>4960501.0437500002</c:v>
                </c:pt>
                <c:pt idx="10">
                  <c:v>5005501.0437500011</c:v>
                </c:pt>
                <c:pt idx="11">
                  <c:v>5050501.0437500011</c:v>
                </c:pt>
                <c:pt idx="12">
                  <c:v>5095501.0437500011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D83-4736-88DD-2473E6A35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370460"/>
        <c:axId val="96369255"/>
      </c:lineChart>
      <c:catAx>
        <c:axId val="903704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EUR/USD Spot Rate at Maturity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369255"/>
        <c:crosses val="autoZero"/>
        <c:auto val="1"/>
        <c:lblAlgn val="ctr"/>
        <c:lblOffset val="100"/>
        <c:noMultiLvlLbl val="0"/>
      </c:catAx>
      <c:valAx>
        <c:axId val="963692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3704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46</xdr:row>
      <xdr:rowOff>0</xdr:rowOff>
    </xdr:from>
    <xdr:to>
      <xdr:col>5</xdr:col>
      <xdr:colOff>1351080</xdr:colOff>
      <xdr:row>73</xdr:row>
      <xdr:rowOff>132480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9"/>
  <sheetViews>
    <sheetView tabSelected="1" topLeftCell="A7" zoomScaleNormal="100" workbookViewId="0">
      <selection activeCell="K13" sqref="K13"/>
    </sheetView>
  </sheetViews>
  <sheetFormatPr defaultColWidth="8.6328125" defaultRowHeight="14.5" x14ac:dyDescent="0.35"/>
  <cols>
    <col min="1" max="1" width="3" customWidth="1"/>
    <col min="2" max="2" width="4.453125" customWidth="1"/>
    <col min="3" max="3" width="43.7265625" customWidth="1"/>
    <col min="4" max="4" width="33.54296875" customWidth="1"/>
    <col min="5" max="5" width="26.1796875" customWidth="1"/>
    <col min="6" max="6" width="34.26953125" customWidth="1"/>
    <col min="7" max="7" width="31.26953125" customWidth="1"/>
    <col min="8" max="8" width="48.54296875" customWidth="1"/>
    <col min="9" max="9" width="34.26953125" customWidth="1"/>
    <col min="10" max="10" width="24" customWidth="1"/>
    <col min="11" max="11" width="33" customWidth="1"/>
    <col min="12" max="12" width="33.1796875" customWidth="1"/>
    <col min="13" max="13" width="39.7265625" customWidth="1"/>
  </cols>
  <sheetData>
    <row r="1" spans="3:10" ht="15.75" customHeight="1" x14ac:dyDescent="0.35"/>
    <row r="2" spans="3:10" ht="23.5" x14ac:dyDescent="0.35">
      <c r="C2" s="10" t="s">
        <v>0</v>
      </c>
    </row>
    <row r="3" spans="3:10" ht="23.5" x14ac:dyDescent="0.35">
      <c r="C3" s="9" t="s">
        <v>1</v>
      </c>
      <c r="D3" s="9"/>
      <c r="E3" s="9"/>
      <c r="F3" s="9"/>
      <c r="G3" s="9"/>
      <c r="H3" s="9"/>
      <c r="I3" s="9"/>
      <c r="J3" s="9"/>
    </row>
    <row r="5" spans="3:10" ht="23.5" x14ac:dyDescent="0.35">
      <c r="C5" s="8" t="s">
        <v>2</v>
      </c>
      <c r="D5" s="8"/>
      <c r="E5" s="8"/>
      <c r="F5" s="11" t="s">
        <v>3</v>
      </c>
      <c r="H5" s="12" t="s">
        <v>4</v>
      </c>
    </row>
    <row r="6" spans="3:10" ht="23.5" x14ac:dyDescent="0.55000000000000004">
      <c r="C6" s="13" t="s">
        <v>5</v>
      </c>
      <c r="F6" s="14">
        <v>4500000</v>
      </c>
      <c r="H6" s="15" t="s">
        <v>6</v>
      </c>
    </row>
    <row r="7" spans="3:10" ht="23.5" x14ac:dyDescent="0.55000000000000004">
      <c r="C7" s="13" t="s">
        <v>7</v>
      </c>
      <c r="F7" s="16">
        <v>1.0820000000000001</v>
      </c>
      <c r="H7" s="17" t="s">
        <v>8</v>
      </c>
    </row>
    <row r="8" spans="3:10" ht="23.5" x14ac:dyDescent="0.35">
      <c r="C8" s="13" t="s">
        <v>9</v>
      </c>
      <c r="H8" s="18" t="s">
        <v>10</v>
      </c>
    </row>
    <row r="9" spans="3:10" ht="23.5" x14ac:dyDescent="0.55000000000000004">
      <c r="C9" s="13" t="s">
        <v>11</v>
      </c>
      <c r="F9" s="19">
        <v>5.2999999999999999E-2</v>
      </c>
    </row>
    <row r="10" spans="3:10" ht="23.5" x14ac:dyDescent="0.55000000000000004">
      <c r="C10" s="13" t="s">
        <v>12</v>
      </c>
      <c r="F10" s="19">
        <v>3.2500000000000001E-2</v>
      </c>
    </row>
    <row r="11" spans="3:10" ht="23.5" x14ac:dyDescent="0.35">
      <c r="C11" s="13" t="s">
        <v>13</v>
      </c>
    </row>
    <row r="12" spans="3:10" ht="23.5" x14ac:dyDescent="0.55000000000000004">
      <c r="C12" s="13" t="s">
        <v>14</v>
      </c>
      <c r="F12" s="20">
        <f>F7*(1+F9*119/360)/(1+F10*119/360)</f>
        <v>1.0892541213491176</v>
      </c>
    </row>
    <row r="13" spans="3:10" ht="23.5" x14ac:dyDescent="0.35">
      <c r="C13" s="13" t="s">
        <v>15</v>
      </c>
    </row>
    <row r="14" spans="3:10" ht="23.5" x14ac:dyDescent="0.55000000000000004">
      <c r="C14" s="13" t="s">
        <v>16</v>
      </c>
      <c r="F14" s="16">
        <v>1.07</v>
      </c>
    </row>
    <row r="15" spans="3:10" ht="23.5" x14ac:dyDescent="0.55000000000000004">
      <c r="C15" s="13" t="s">
        <v>17</v>
      </c>
      <c r="F15" s="21">
        <v>9.4999999999999998E-3</v>
      </c>
    </row>
    <row r="17" spans="3:12" ht="23.5" x14ac:dyDescent="0.35">
      <c r="C17" s="7" t="s">
        <v>18</v>
      </c>
      <c r="D17" s="7"/>
      <c r="E17" s="7"/>
      <c r="F17" s="7"/>
      <c r="G17" s="7"/>
      <c r="H17" s="7"/>
      <c r="I17" s="7"/>
      <c r="J17" s="7"/>
    </row>
    <row r="18" spans="3:12" ht="23.5" x14ac:dyDescent="0.55000000000000004">
      <c r="C18" s="9" t="s">
        <v>19</v>
      </c>
      <c r="D18" s="9"/>
      <c r="E18" s="9"/>
      <c r="F18" s="22">
        <f>recievable*for_EURUSD</f>
        <v>4901643.5460710293</v>
      </c>
      <c r="G18" s="6" t="s">
        <v>20</v>
      </c>
      <c r="H18" s="6"/>
      <c r="I18" s="6"/>
      <c r="J18" s="6"/>
    </row>
    <row r="20" spans="3:12" ht="23.5" x14ac:dyDescent="0.35">
      <c r="C20" s="7" t="s">
        <v>21</v>
      </c>
      <c r="D20" s="7"/>
      <c r="E20" s="7"/>
      <c r="F20" s="7"/>
      <c r="G20" s="7"/>
      <c r="H20" s="7"/>
      <c r="I20" s="7"/>
      <c r="J20" s="7"/>
    </row>
    <row r="21" spans="3:12" ht="23.5" x14ac:dyDescent="0.55000000000000004">
      <c r="C21" s="9" t="s">
        <v>22</v>
      </c>
      <c r="D21" s="9"/>
      <c r="E21" s="9"/>
      <c r="F21" s="23">
        <f>recievable/(1+rate_eur*119/360)</f>
        <v>4452170.0893869326</v>
      </c>
      <c r="G21" s="5" t="s">
        <v>23</v>
      </c>
      <c r="H21" s="5"/>
      <c r="I21" s="5"/>
      <c r="J21" s="5"/>
    </row>
    <row r="22" spans="3:12" ht="23.5" x14ac:dyDescent="0.55000000000000004">
      <c r="C22" s="9" t="s">
        <v>24</v>
      </c>
      <c r="D22" s="9"/>
      <c r="E22" s="9"/>
      <c r="F22" s="24">
        <f>F21*spot_EURUSD</f>
        <v>4817248.0367166614</v>
      </c>
      <c r="G22" s="5" t="s">
        <v>25</v>
      </c>
      <c r="H22" s="5"/>
      <c r="I22" s="5"/>
      <c r="J22" s="5"/>
    </row>
    <row r="23" spans="3:12" ht="23.5" x14ac:dyDescent="0.55000000000000004">
      <c r="C23" s="9" t="s">
        <v>26</v>
      </c>
      <c r="D23" s="9"/>
      <c r="E23" s="9"/>
      <c r="F23" s="24">
        <f>F22*(1+rate_us*119/360)</f>
        <v>4901643.5460710283</v>
      </c>
      <c r="G23" s="5" t="s">
        <v>27</v>
      </c>
      <c r="H23" s="5"/>
      <c r="I23" s="5"/>
      <c r="J23" s="5"/>
    </row>
    <row r="24" spans="3:12" ht="23.5" x14ac:dyDescent="0.55000000000000004">
      <c r="F24" s="22">
        <f>F23</f>
        <v>4901643.5460710283</v>
      </c>
      <c r="G24" s="6" t="s">
        <v>20</v>
      </c>
      <c r="H24" s="6"/>
      <c r="I24" s="6"/>
      <c r="J24" s="6"/>
    </row>
    <row r="25" spans="3:12" ht="23.5" x14ac:dyDescent="0.55000000000000004">
      <c r="C25" s="9" t="s">
        <v>28</v>
      </c>
      <c r="D25" s="9"/>
      <c r="E25" s="9"/>
      <c r="F25" s="25" t="str">
        <f>IF(ABS(F18-F24)&lt;10,"✓ PASS","⚠ CHECK")</f>
        <v>✓ PASS</v>
      </c>
    </row>
    <row r="26" spans="3:12" ht="23.5" x14ac:dyDescent="0.35">
      <c r="C26" s="7" t="s">
        <v>29</v>
      </c>
      <c r="D26" s="7"/>
      <c r="E26" s="7"/>
      <c r="F26" s="7"/>
      <c r="G26" s="7"/>
      <c r="H26" s="7"/>
      <c r="I26" s="7"/>
      <c r="J26" s="7"/>
    </row>
    <row r="27" spans="3:12" ht="23.5" x14ac:dyDescent="0.55000000000000004">
      <c r="C27" s="9" t="s">
        <v>30</v>
      </c>
      <c r="D27" s="9"/>
      <c r="E27" s="9"/>
      <c r="F27" s="24">
        <f>-put_price*recievable</f>
        <v>-42750</v>
      </c>
      <c r="G27" s="9" t="s">
        <v>31</v>
      </c>
      <c r="H27" s="9"/>
      <c r="I27" s="9"/>
      <c r="J27" s="9"/>
    </row>
    <row r="28" spans="3:12" ht="23.5" x14ac:dyDescent="0.55000000000000004">
      <c r="C28" s="9" t="s">
        <v>32</v>
      </c>
      <c r="D28" s="9"/>
      <c r="E28" s="9"/>
      <c r="F28" s="24">
        <f>F27*(1+rate_us*119/360)</f>
        <v>-43498.956249999996</v>
      </c>
    </row>
    <row r="29" spans="3:12" ht="23.5" x14ac:dyDescent="0.35">
      <c r="F29" s="26">
        <f>MIN(G33:G45)</f>
        <v>4771501.0437500002</v>
      </c>
      <c r="G29" s="6" t="s">
        <v>33</v>
      </c>
      <c r="H29" s="6"/>
      <c r="I29" s="6"/>
      <c r="J29" s="6"/>
    </row>
    <row r="30" spans="3:12" ht="15.75" customHeight="1" x14ac:dyDescent="0.35"/>
    <row r="31" spans="3:12" ht="23.5" x14ac:dyDescent="0.35">
      <c r="C31" s="4" t="s">
        <v>34</v>
      </c>
      <c r="D31" s="3" t="s">
        <v>35</v>
      </c>
      <c r="E31" s="3"/>
      <c r="F31" s="3"/>
      <c r="G31" s="3"/>
      <c r="H31" s="2" t="s">
        <v>36</v>
      </c>
      <c r="I31" s="2"/>
      <c r="J31" s="2"/>
      <c r="K31" s="3" t="s">
        <v>37</v>
      </c>
      <c r="L31" s="3"/>
    </row>
    <row r="32" spans="3:12" ht="15.75" customHeight="1" x14ac:dyDescent="0.35">
      <c r="C32" s="4"/>
      <c r="D32" s="12" t="s">
        <v>38</v>
      </c>
      <c r="E32" s="12" t="s">
        <v>18</v>
      </c>
      <c r="F32" s="12" t="s">
        <v>21</v>
      </c>
      <c r="G32" s="12" t="s">
        <v>29</v>
      </c>
      <c r="H32" s="27" t="s">
        <v>39</v>
      </c>
      <c r="I32" s="28" t="s">
        <v>21</v>
      </c>
      <c r="J32" s="28" t="s">
        <v>29</v>
      </c>
      <c r="K32" s="12" t="s">
        <v>40</v>
      </c>
      <c r="L32" s="12" t="s">
        <v>41</v>
      </c>
    </row>
    <row r="33" spans="2:13" ht="23.5" x14ac:dyDescent="0.55000000000000004">
      <c r="B33" s="1" t="s">
        <v>42</v>
      </c>
      <c r="C33" s="29">
        <f t="shared" ref="C33:C38" si="0">C34-0.01</f>
        <v>1.022</v>
      </c>
      <c r="D33" s="24">
        <f t="shared" ref="D33:D45" si="1">C33*$F$6</f>
        <v>4599000</v>
      </c>
      <c r="E33" s="24">
        <f t="shared" ref="E33:E45" si="2">$D33+($F$12-C33)*$F$6</f>
        <v>4901643.5460710293</v>
      </c>
      <c r="F33" s="24">
        <f t="shared" ref="F33:F45" si="3">$F$24</f>
        <v>4901643.5460710283</v>
      </c>
      <c r="G33" s="24">
        <f t="shared" ref="G33:G45" si="4">fv_put_outlay+MAX(0,(x_put-C33)*$F$6)+C33*$F$6</f>
        <v>4771501.0437500002</v>
      </c>
      <c r="H33" s="30">
        <f t="shared" ref="H33:H45" si="5">($F$12-C33)*$F$6</f>
        <v>302643.54607102904</v>
      </c>
      <c r="I33" s="30">
        <f t="shared" ref="I33:I45" si="6">$F$24-$D33</f>
        <v>302643.54607102834</v>
      </c>
      <c r="J33" s="30">
        <f t="shared" ref="J33:J45" si="7">$G33-$D33</f>
        <v>172501.04375000019</v>
      </c>
      <c r="K33" s="31" t="str">
        <f t="shared" ref="K33:K45" si="8">IF(E33=MAX(D33,E33,F33,G33),$E$32,IF(F33=MAX(D33,E33,F33,G33),$F$32,IF(G33=MAX(D33,E33,F33,G33),$G$32,$D$32)))</f>
        <v>1. Forward Hedge</v>
      </c>
      <c r="L33" s="31" t="str">
        <f t="shared" ref="L33:L45" si="9">IF(E33=MAX(E33,F33,G33),$E$32,IF(F33=MAX(E33,F33,G33),$F$32,$G$32))</f>
        <v>1. Forward Hedge</v>
      </c>
      <c r="M33" s="13" t="s">
        <v>43</v>
      </c>
    </row>
    <row r="34" spans="2:13" ht="23.5" x14ac:dyDescent="0.55000000000000004">
      <c r="B34" s="1"/>
      <c r="C34" s="29">
        <f t="shared" si="0"/>
        <v>1.032</v>
      </c>
      <c r="D34" s="24">
        <f t="shared" si="1"/>
        <v>4644000</v>
      </c>
      <c r="E34" s="24">
        <f t="shared" si="2"/>
        <v>4901643.5460710293</v>
      </c>
      <c r="F34" s="24">
        <f t="shared" si="3"/>
        <v>4901643.5460710283</v>
      </c>
      <c r="G34" s="24">
        <f t="shared" si="4"/>
        <v>4771501.0437500002</v>
      </c>
      <c r="H34" s="30">
        <f t="shared" si="5"/>
        <v>257643.54607102901</v>
      </c>
      <c r="I34" s="30">
        <f t="shared" si="6"/>
        <v>257643.54607102834</v>
      </c>
      <c r="J34" s="30">
        <f t="shared" si="7"/>
        <v>127501.04375000019</v>
      </c>
      <c r="K34" s="31" t="str">
        <f t="shared" si="8"/>
        <v>1. Forward Hedge</v>
      </c>
      <c r="L34" s="31" t="str">
        <f t="shared" si="9"/>
        <v>1. Forward Hedge</v>
      </c>
    </row>
    <row r="35" spans="2:13" ht="23.5" x14ac:dyDescent="0.55000000000000004">
      <c r="B35" s="1"/>
      <c r="C35" s="29">
        <f t="shared" si="0"/>
        <v>1.042</v>
      </c>
      <c r="D35" s="24">
        <f t="shared" si="1"/>
        <v>4689000</v>
      </c>
      <c r="E35" s="24">
        <f t="shared" si="2"/>
        <v>4901643.5460710293</v>
      </c>
      <c r="F35" s="24">
        <f t="shared" si="3"/>
        <v>4901643.5460710283</v>
      </c>
      <c r="G35" s="24">
        <f t="shared" si="4"/>
        <v>4771501.0437500002</v>
      </c>
      <c r="H35" s="30">
        <f t="shared" si="5"/>
        <v>212643.54607102898</v>
      </c>
      <c r="I35" s="30">
        <f t="shared" si="6"/>
        <v>212643.54607102834</v>
      </c>
      <c r="J35" s="30">
        <f t="shared" si="7"/>
        <v>82501.043750000186</v>
      </c>
      <c r="K35" s="31" t="str">
        <f t="shared" si="8"/>
        <v>1. Forward Hedge</v>
      </c>
      <c r="L35" s="31" t="str">
        <f t="shared" si="9"/>
        <v>1. Forward Hedge</v>
      </c>
    </row>
    <row r="36" spans="2:13" ht="23.5" x14ac:dyDescent="0.55000000000000004">
      <c r="B36" s="1"/>
      <c r="C36" s="29">
        <f t="shared" si="0"/>
        <v>1.052</v>
      </c>
      <c r="D36" s="24">
        <f t="shared" si="1"/>
        <v>4734000</v>
      </c>
      <c r="E36" s="24">
        <f t="shared" si="2"/>
        <v>4901643.5460710293</v>
      </c>
      <c r="F36" s="24">
        <f t="shared" si="3"/>
        <v>4901643.5460710283</v>
      </c>
      <c r="G36" s="24">
        <f t="shared" si="4"/>
        <v>4771501.0437500002</v>
      </c>
      <c r="H36" s="30">
        <f t="shared" si="5"/>
        <v>167643.54607102895</v>
      </c>
      <c r="I36" s="30">
        <f t="shared" si="6"/>
        <v>167643.54607102834</v>
      </c>
      <c r="J36" s="30">
        <f t="shared" si="7"/>
        <v>37501.043750000186</v>
      </c>
      <c r="K36" s="31" t="str">
        <f t="shared" si="8"/>
        <v>1. Forward Hedge</v>
      </c>
      <c r="L36" s="31" t="str">
        <f t="shared" si="9"/>
        <v>1. Forward Hedge</v>
      </c>
    </row>
    <row r="37" spans="2:13" ht="23.5" x14ac:dyDescent="0.55000000000000004">
      <c r="B37" s="1"/>
      <c r="C37" s="29">
        <f t="shared" si="0"/>
        <v>1.0620000000000001</v>
      </c>
      <c r="D37" s="24">
        <f t="shared" si="1"/>
        <v>4779000</v>
      </c>
      <c r="E37" s="24">
        <f t="shared" si="2"/>
        <v>4901643.5460710293</v>
      </c>
      <c r="F37" s="24">
        <f t="shared" si="3"/>
        <v>4901643.5460710283</v>
      </c>
      <c r="G37" s="24">
        <f t="shared" si="4"/>
        <v>4771501.0437500002</v>
      </c>
      <c r="H37" s="30">
        <f t="shared" si="5"/>
        <v>122643.5460710289</v>
      </c>
      <c r="I37" s="30">
        <f t="shared" si="6"/>
        <v>122643.54607102834</v>
      </c>
      <c r="J37" s="30">
        <f t="shared" si="7"/>
        <v>-7498.9562499998137</v>
      </c>
      <c r="K37" s="31" t="str">
        <f t="shared" si="8"/>
        <v>1. Forward Hedge</v>
      </c>
      <c r="L37" s="31" t="str">
        <f t="shared" si="9"/>
        <v>1. Forward Hedge</v>
      </c>
    </row>
    <row r="38" spans="2:13" ht="23.5" x14ac:dyDescent="0.55000000000000004">
      <c r="B38" s="1"/>
      <c r="C38" s="29">
        <f t="shared" si="0"/>
        <v>1.0720000000000001</v>
      </c>
      <c r="D38" s="24">
        <f t="shared" si="1"/>
        <v>4824000</v>
      </c>
      <c r="E38" s="24">
        <f t="shared" si="2"/>
        <v>4901643.5460710293</v>
      </c>
      <c r="F38" s="24">
        <f t="shared" si="3"/>
        <v>4901643.5460710283</v>
      </c>
      <c r="G38" s="24">
        <f t="shared" si="4"/>
        <v>4780501.0437500002</v>
      </c>
      <c r="H38" s="30">
        <f t="shared" si="5"/>
        <v>77643.546071028861</v>
      </c>
      <c r="I38" s="30">
        <f t="shared" si="6"/>
        <v>77643.546071028337</v>
      </c>
      <c r="J38" s="30">
        <f t="shared" si="7"/>
        <v>-43498.956249999814</v>
      </c>
      <c r="K38" s="31" t="str">
        <f t="shared" si="8"/>
        <v>1. Forward Hedge</v>
      </c>
      <c r="L38" s="31" t="str">
        <f t="shared" si="9"/>
        <v>1. Forward Hedge</v>
      </c>
    </row>
    <row r="39" spans="2:13" ht="23.5" x14ac:dyDescent="0.55000000000000004">
      <c r="B39" s="1"/>
      <c r="C39" s="29">
        <f>spot_EURUSD</f>
        <v>1.0820000000000001</v>
      </c>
      <c r="D39" s="24">
        <f t="shared" si="1"/>
        <v>4869000</v>
      </c>
      <c r="E39" s="24">
        <f t="shared" si="2"/>
        <v>4901643.5460710293</v>
      </c>
      <c r="F39" s="24">
        <f t="shared" si="3"/>
        <v>4901643.5460710283</v>
      </c>
      <c r="G39" s="24">
        <f t="shared" si="4"/>
        <v>4825501.0437500002</v>
      </c>
      <c r="H39" s="30">
        <f t="shared" si="5"/>
        <v>32643.546071028817</v>
      </c>
      <c r="I39" s="30">
        <f t="shared" si="6"/>
        <v>32643.546071028337</v>
      </c>
      <c r="J39" s="30">
        <f t="shared" si="7"/>
        <v>-43498.956249999814</v>
      </c>
      <c r="K39" s="31" t="str">
        <f t="shared" si="8"/>
        <v>1. Forward Hedge</v>
      </c>
      <c r="L39" s="31" t="str">
        <f t="shared" si="9"/>
        <v>1. Forward Hedge</v>
      </c>
      <c r="M39" s="13" t="s">
        <v>44</v>
      </c>
    </row>
    <row r="40" spans="2:13" ht="23.5" x14ac:dyDescent="0.55000000000000004">
      <c r="B40" s="1"/>
      <c r="C40" s="29">
        <f t="shared" ref="C40:C45" si="10">C39+0.01</f>
        <v>1.0920000000000001</v>
      </c>
      <c r="D40" s="24">
        <f t="shared" si="1"/>
        <v>4914000</v>
      </c>
      <c r="E40" s="24">
        <f t="shared" si="2"/>
        <v>4901643.5460710283</v>
      </c>
      <c r="F40" s="24">
        <f t="shared" si="3"/>
        <v>4901643.5460710283</v>
      </c>
      <c r="G40" s="24">
        <f t="shared" si="4"/>
        <v>4870501.0437500002</v>
      </c>
      <c r="H40" s="30">
        <f t="shared" si="5"/>
        <v>-12356.453928971223</v>
      </c>
      <c r="I40" s="30">
        <f t="shared" si="6"/>
        <v>-12356.453928971663</v>
      </c>
      <c r="J40" s="30">
        <f t="shared" si="7"/>
        <v>-43498.956249999814</v>
      </c>
      <c r="K40" s="31" t="str">
        <f t="shared" si="8"/>
        <v>0. No Hedge</v>
      </c>
      <c r="L40" s="31" t="str">
        <f t="shared" si="9"/>
        <v>1. Forward Hedge</v>
      </c>
    </row>
    <row r="41" spans="2:13" ht="23.5" x14ac:dyDescent="0.55000000000000004">
      <c r="B41" s="1"/>
      <c r="C41" s="29">
        <f t="shared" si="10"/>
        <v>1.1020000000000001</v>
      </c>
      <c r="D41" s="24">
        <f t="shared" si="1"/>
        <v>4959000</v>
      </c>
      <c r="E41" s="24">
        <f t="shared" si="2"/>
        <v>4901643.5460710283</v>
      </c>
      <c r="F41" s="24">
        <f t="shared" si="3"/>
        <v>4901643.5460710283</v>
      </c>
      <c r="G41" s="24">
        <f t="shared" si="4"/>
        <v>4915501.0437500002</v>
      </c>
      <c r="H41" s="30">
        <f t="shared" si="5"/>
        <v>-57356.453928971263</v>
      </c>
      <c r="I41" s="30">
        <f t="shared" si="6"/>
        <v>-57356.453928971663</v>
      </c>
      <c r="J41" s="30">
        <f t="shared" si="7"/>
        <v>-43498.956249999814</v>
      </c>
      <c r="K41" s="31" t="str">
        <f t="shared" si="8"/>
        <v>0. No Hedge</v>
      </c>
      <c r="L41" s="31" t="str">
        <f t="shared" si="9"/>
        <v>3. Option Hedge</v>
      </c>
    </row>
    <row r="42" spans="2:13" ht="23.5" x14ac:dyDescent="0.55000000000000004">
      <c r="B42" s="1"/>
      <c r="C42" s="29">
        <f t="shared" si="10"/>
        <v>1.1120000000000001</v>
      </c>
      <c r="D42" s="24">
        <f t="shared" si="1"/>
        <v>5004000</v>
      </c>
      <c r="E42" s="24">
        <f t="shared" si="2"/>
        <v>4901643.5460710283</v>
      </c>
      <c r="F42" s="24">
        <f t="shared" si="3"/>
        <v>4901643.5460710283</v>
      </c>
      <c r="G42" s="24">
        <f t="shared" si="4"/>
        <v>4960501.0437500002</v>
      </c>
      <c r="H42" s="30">
        <f t="shared" si="5"/>
        <v>-102356.4539289713</v>
      </c>
      <c r="I42" s="30">
        <f t="shared" si="6"/>
        <v>-102356.45392897166</v>
      </c>
      <c r="J42" s="30">
        <f t="shared" si="7"/>
        <v>-43498.956249999814</v>
      </c>
      <c r="K42" s="31" t="str">
        <f t="shared" si="8"/>
        <v>0. No Hedge</v>
      </c>
      <c r="L42" s="31" t="str">
        <f t="shared" si="9"/>
        <v>3. Option Hedge</v>
      </c>
    </row>
    <row r="43" spans="2:13" ht="23.5" x14ac:dyDescent="0.55000000000000004">
      <c r="B43" s="1"/>
      <c r="C43" s="29">
        <f t="shared" si="10"/>
        <v>1.1220000000000001</v>
      </c>
      <c r="D43" s="24">
        <f t="shared" si="1"/>
        <v>5049000.0000000009</v>
      </c>
      <c r="E43" s="24">
        <f t="shared" si="2"/>
        <v>4901643.5460710293</v>
      </c>
      <c r="F43" s="24">
        <f t="shared" si="3"/>
        <v>4901643.5460710283</v>
      </c>
      <c r="G43" s="24">
        <f t="shared" si="4"/>
        <v>5005501.0437500011</v>
      </c>
      <c r="H43" s="30">
        <f t="shared" si="5"/>
        <v>-147356.45392897134</v>
      </c>
      <c r="I43" s="30">
        <f t="shared" si="6"/>
        <v>-147356.45392897259</v>
      </c>
      <c r="J43" s="30">
        <f t="shared" si="7"/>
        <v>-43498.956249999814</v>
      </c>
      <c r="K43" s="31" t="str">
        <f t="shared" si="8"/>
        <v>0. No Hedge</v>
      </c>
      <c r="L43" s="31" t="str">
        <f t="shared" si="9"/>
        <v>3. Option Hedge</v>
      </c>
    </row>
    <row r="44" spans="2:13" ht="23.5" x14ac:dyDescent="0.55000000000000004">
      <c r="B44" s="1"/>
      <c r="C44" s="29">
        <f t="shared" si="10"/>
        <v>1.1320000000000001</v>
      </c>
      <c r="D44" s="24">
        <f t="shared" si="1"/>
        <v>5094000.0000000009</v>
      </c>
      <c r="E44" s="24">
        <f t="shared" si="2"/>
        <v>4901643.5460710293</v>
      </c>
      <c r="F44" s="24">
        <f t="shared" si="3"/>
        <v>4901643.5460710283</v>
      </c>
      <c r="G44" s="24">
        <f t="shared" si="4"/>
        <v>5050501.0437500011</v>
      </c>
      <c r="H44" s="30">
        <f t="shared" si="5"/>
        <v>-192356.45392897137</v>
      </c>
      <c r="I44" s="30">
        <f t="shared" si="6"/>
        <v>-192356.45392897259</v>
      </c>
      <c r="J44" s="30">
        <f t="shared" si="7"/>
        <v>-43498.956249999814</v>
      </c>
      <c r="K44" s="31" t="str">
        <f t="shared" si="8"/>
        <v>0. No Hedge</v>
      </c>
      <c r="L44" s="31" t="str">
        <f t="shared" si="9"/>
        <v>3. Option Hedge</v>
      </c>
    </row>
    <row r="45" spans="2:13" ht="23.5" x14ac:dyDescent="0.55000000000000004">
      <c r="B45" s="1"/>
      <c r="C45" s="29">
        <f t="shared" si="10"/>
        <v>1.1420000000000001</v>
      </c>
      <c r="D45" s="24">
        <f t="shared" si="1"/>
        <v>5139000.0000000009</v>
      </c>
      <c r="E45" s="24">
        <f t="shared" si="2"/>
        <v>4901643.5460710293</v>
      </c>
      <c r="F45" s="24">
        <f t="shared" si="3"/>
        <v>4901643.5460710283</v>
      </c>
      <c r="G45" s="24">
        <f t="shared" si="4"/>
        <v>5095501.0437500011</v>
      </c>
      <c r="H45" s="30">
        <f t="shared" si="5"/>
        <v>-237356.45392897143</v>
      </c>
      <c r="I45" s="30">
        <f t="shared" si="6"/>
        <v>-237356.45392897259</v>
      </c>
      <c r="J45" s="30">
        <f t="shared" si="7"/>
        <v>-43498.956249999814</v>
      </c>
      <c r="K45" s="31" t="str">
        <f t="shared" si="8"/>
        <v>0. No Hedge</v>
      </c>
      <c r="L45" s="31" t="str">
        <f t="shared" si="9"/>
        <v>3. Option Hedge</v>
      </c>
      <c r="M45" s="13" t="s">
        <v>45</v>
      </c>
    </row>
    <row r="46" spans="2:13" ht="15.75" customHeight="1" x14ac:dyDescent="0.35"/>
    <row r="47" spans="2:13" ht="15.75" customHeight="1" x14ac:dyDescent="0.35"/>
    <row r="48" spans="2:13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</sheetData>
  <mergeCells count="24">
    <mergeCell ref="K31:L31"/>
    <mergeCell ref="B33:B45"/>
    <mergeCell ref="C27:E27"/>
    <mergeCell ref="G27:J27"/>
    <mergeCell ref="C28:E28"/>
    <mergeCell ref="G29:J29"/>
    <mergeCell ref="C31:C32"/>
    <mergeCell ref="D31:G31"/>
    <mergeCell ref="H31:J31"/>
    <mergeCell ref="C23:E23"/>
    <mergeCell ref="G23:J23"/>
    <mergeCell ref="G24:J24"/>
    <mergeCell ref="C25:E25"/>
    <mergeCell ref="C26:J26"/>
    <mergeCell ref="C20:J20"/>
    <mergeCell ref="C21:E21"/>
    <mergeCell ref="G21:J21"/>
    <mergeCell ref="C22:E22"/>
    <mergeCell ref="G22:J22"/>
    <mergeCell ref="C3:J3"/>
    <mergeCell ref="C5:E5"/>
    <mergeCell ref="C17:J17"/>
    <mergeCell ref="C18:E18"/>
    <mergeCell ref="G18:J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zoomScaleNormal="100" workbookViewId="0">
      <selection activeCell="A19" sqref="A19"/>
    </sheetView>
  </sheetViews>
  <sheetFormatPr defaultColWidth="8.6328125" defaultRowHeight="14.5" x14ac:dyDescent="0.35"/>
  <cols>
    <col min="1" max="1" width="35" customWidth="1"/>
    <col min="2" max="2" width="75" customWidth="1"/>
  </cols>
  <sheetData>
    <row r="1" spans="1:2" ht="23.5" x14ac:dyDescent="0.35">
      <c r="A1" s="32" t="s">
        <v>46</v>
      </c>
      <c r="B1" s="33"/>
    </row>
    <row r="2" spans="1:2" ht="23.5" x14ac:dyDescent="0.35">
      <c r="A2" s="32" t="s">
        <v>47</v>
      </c>
      <c r="B2" s="32" t="s">
        <v>48</v>
      </c>
    </row>
    <row r="3" spans="1:2" ht="23.5" x14ac:dyDescent="0.35">
      <c r="A3" s="34" t="s">
        <v>49</v>
      </c>
      <c r="B3" s="34" t="s">
        <v>50</v>
      </c>
    </row>
    <row r="4" spans="1:2" ht="23.5" x14ac:dyDescent="0.35">
      <c r="A4" s="35" t="s">
        <v>51</v>
      </c>
      <c r="B4" s="35" t="s">
        <v>52</v>
      </c>
    </row>
    <row r="5" spans="1:2" ht="23.5" x14ac:dyDescent="0.35">
      <c r="A5" s="34" t="s">
        <v>53</v>
      </c>
      <c r="B5" s="34" t="s">
        <v>54</v>
      </c>
    </row>
    <row r="6" spans="1:2" ht="23.5" x14ac:dyDescent="0.35">
      <c r="A6" s="35" t="s">
        <v>55</v>
      </c>
      <c r="B6" s="35" t="s">
        <v>56</v>
      </c>
    </row>
    <row r="7" spans="1:2" ht="23.5" x14ac:dyDescent="0.35">
      <c r="A7" s="34" t="s">
        <v>57</v>
      </c>
      <c r="B7" s="34" t="s">
        <v>58</v>
      </c>
    </row>
    <row r="8" spans="1:2" ht="23.5" x14ac:dyDescent="0.35">
      <c r="A8" s="35" t="s">
        <v>59</v>
      </c>
      <c r="B8" s="35" t="s">
        <v>60</v>
      </c>
    </row>
    <row r="9" spans="1:2" ht="23.5" x14ac:dyDescent="0.35">
      <c r="A9" s="34" t="s">
        <v>61</v>
      </c>
      <c r="B9" s="34" t="s">
        <v>62</v>
      </c>
    </row>
    <row r="10" spans="1:2" ht="23.5" x14ac:dyDescent="0.35">
      <c r="A10" s="35" t="s">
        <v>63</v>
      </c>
      <c r="B10" s="35" t="s">
        <v>64</v>
      </c>
    </row>
    <row r="11" spans="1:2" ht="23.5" x14ac:dyDescent="0.35">
      <c r="A11" s="34" t="s">
        <v>65</v>
      </c>
      <c r="B11" s="34" t="s">
        <v>66</v>
      </c>
    </row>
    <row r="12" spans="1:2" ht="23.5" x14ac:dyDescent="0.35">
      <c r="A12" s="35" t="s">
        <v>67</v>
      </c>
      <c r="B12" s="35" t="s">
        <v>68</v>
      </c>
    </row>
    <row r="13" spans="1:2" ht="23.5" x14ac:dyDescent="0.35">
      <c r="A13" s="34" t="s">
        <v>69</v>
      </c>
      <c r="B13" s="34" t="s">
        <v>70</v>
      </c>
    </row>
    <row r="14" spans="1:2" ht="23.5" x14ac:dyDescent="0.35">
      <c r="A14" s="35" t="s">
        <v>71</v>
      </c>
      <c r="B14" s="35" t="s">
        <v>72</v>
      </c>
    </row>
    <row r="15" spans="1:2" ht="23.5" x14ac:dyDescent="0.35">
      <c r="A15" s="34" t="s">
        <v>73</v>
      </c>
      <c r="B15" s="34" t="s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Transaction Hedging (Receivable</vt:lpstr>
      <vt:lpstr>Notes &amp; Assumptions</vt:lpstr>
      <vt:lpstr>for_EURUSD</vt:lpstr>
      <vt:lpstr>fv_put_outlay</vt:lpstr>
      <vt:lpstr>fwd_result</vt:lpstr>
      <vt:lpstr>mm_result</vt:lpstr>
      <vt:lpstr>put_price</vt:lpstr>
      <vt:lpstr>rate_eur</vt:lpstr>
      <vt:lpstr>rate_us</vt:lpstr>
      <vt:lpstr>recievable</vt:lpstr>
      <vt:lpstr>spot_EURUSD</vt:lpstr>
      <vt:lpstr>x_put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jksamson@shidlertim.hawaii.edu</cp:lastModifiedBy>
  <cp:revision>1</cp:revision>
  <dcterms:created xsi:type="dcterms:W3CDTF">2026-04-16T21:04:46Z</dcterms:created>
  <dcterms:modified xsi:type="dcterms:W3CDTF">2026-04-17T22:04:38Z</dcterms:modified>
  <dc:language>en-US</dc:language>
</cp:coreProperties>
</file>